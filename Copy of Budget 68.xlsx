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of_mac/Documents/FF69/"/>
    </mc:Choice>
  </mc:AlternateContent>
  <xr:revisionPtr revIDLastSave="0" documentId="8_{DE975ABF-C9BA-3846-9FB5-8FFD62DDD82A}" xr6:coauthVersionLast="47" xr6:coauthVersionMax="47" xr10:uidLastSave="{00000000-0000-0000-0000-000000000000}"/>
  <bookViews>
    <workbookView xWindow="10180" yWindow="1560" windowWidth="25300" windowHeight="16440" xr2:uid="{00000000-000D-0000-FFFF-FFFF00000000}"/>
  </bookViews>
  <sheets>
    <sheet name="ตารางงบประมาณ" sheetId="7" r:id="rId1"/>
  </sheets>
  <definedNames>
    <definedName name="_xlnm.Print_Titles" localSheetId="0">ตารางงบประมาณ!$3:$3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7" l="1"/>
  <c r="J15" i="7"/>
  <c r="L12" i="7"/>
  <c r="L11" i="7"/>
  <c r="J6" i="7"/>
  <c r="M7" i="7"/>
  <c r="N5" i="7"/>
  <c r="L5" i="7"/>
  <c r="J35" i="7"/>
  <c r="J8" i="7" l="1"/>
  <c r="J5" i="7" l="1"/>
  <c r="J12" i="7" l="1"/>
  <c r="L15" i="7" s="1"/>
  <c r="J4" i="7" l="1"/>
  <c r="J37" i="7" s="1"/>
</calcChain>
</file>

<file path=xl/sharedStrings.xml><?xml version="1.0" encoding="utf-8"?>
<sst xmlns="http://schemas.openxmlformats.org/spreadsheetml/2006/main" count="30" uniqueCount="30">
  <si>
    <t>หมวดงบประมาณ</t>
  </si>
  <si>
    <t>จำนวน</t>
  </si>
  <si>
    <t xml:space="preserve">หน่วยนับ </t>
  </si>
  <si>
    <t>คน/รายการ</t>
  </si>
  <si>
    <t>ครั้ง/เดือน</t>
  </si>
  <si>
    <t>ราคาต่อหน่วย</t>
  </si>
  <si>
    <t>งบประมาณ (บาท)</t>
  </si>
  <si>
    <t>งบประมาณรวมในรายการค่าใช้จ่าย (บาท)</t>
  </si>
  <si>
    <t>งบดำเนินงาน</t>
  </si>
  <si>
    <t>2 ค่าวัสดุ</t>
  </si>
  <si>
    <t>3 ค่าใช้สอย</t>
  </si>
  <si>
    <t>งบลงทุน</t>
  </si>
  <si>
    <t>5 ค่าเดินทางต่างประเทศ</t>
  </si>
  <si>
    <t>(ยอดเงินรวมค่าซ่อมแซมครุภัณฑ์)</t>
  </si>
  <si>
    <t>(ยอดเงินรวมค่าเดินทางต่างประเทศ)</t>
  </si>
  <si>
    <t>(ยอดเงินรวมค่าสาธารณูปโภค)</t>
  </si>
  <si>
    <t>1 ค่าจ้าง</t>
  </si>
  <si>
    <t>7 ค่าครุภัณฑ์</t>
  </si>
  <si>
    <t>รวม</t>
  </si>
  <si>
    <t>งบประมาณ</t>
  </si>
  <si>
    <t>รายละเอียดงบประมาณ</t>
  </si>
  <si>
    <t xml:space="preserve">ข้อมูลการแตกรายละเอียดงบประมาณ (แตกตัวคูณ) เฉพาะปีที่เสนอ
</t>
  </si>
  <si>
    <t>6 ค่าซ่อมแซมครุภัณฑ์</t>
  </si>
  <si>
    <t>4 ค่าสาธารณูปโภค</t>
  </si>
  <si>
    <t> 1 ครั้ง</t>
  </si>
  <si>
    <t>1 </t>
  </si>
  <si>
    <t>ระบบ</t>
  </si>
  <si>
    <t>ชื่อโครงการการประเมินความเสี่ยงต่อการเป็นโรคซึมเศร้าและการฆ่าตัวตายด้วยการเรียนรู้ของเครื่อง และการพัฒนาระบบสารสนเทศเพื่อการดูแลสุขภาพจิตนักศึกษา มหาวิทยาลัยเทคโนโลยีสุรนารี</t>
  </si>
  <si>
    <t>1 ค่าจัดจ้างในการพัฒนาระบบและฐานข้อมูล</t>
  </si>
  <si>
    <t>นศ ป.โท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</si>
</sst>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sz val="11"/>
      <color theme="1"/>
      <name val="Calibri"/>
      <family val="2"/>
      <scheme val="minor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b/>
      <sz val="14"/>
      <color theme="1"/>
      <name val="TH SarabunPSK"/>
      <family val="2"/>
    </font>
    <font>
      <sz val="14"/>
      <name val="TH SarabunPSK"/>
      <family val="2"/>
    </font>
    <font>
      <b/>
      <u/>
      <sz val="14"/>
      <name val="TH SarabunPSK"/>
      <family val="2"/>
    </font>
    <font>
      <sz val="14"/>
      <color theme="1"/>
      <name val="TH SarabunPSK"/>
      <family val="2"/>
    </font>
    <font>
      <sz val="16"/>
      <color rgb="FF0000FF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9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8" fillId="0" borderId="0" xfId="0" applyFont="1"/>
    <xf numFmtId="0" fontId="8" fillId="2" borderId="1" xfId="0" applyFont="1" applyFill="1" applyBorder="1" applyAlignment="1">
      <alignment horizontal="left" indent="2"/>
    </xf>
    <xf numFmtId="0" fontId="10" fillId="2" borderId="1" xfId="0" applyFont="1" applyFill="1" applyBorder="1" applyAlignment="1">
      <alignment horizontal="center" vertical="top"/>
    </xf>
    <xf numFmtId="0" fontId="8" fillId="2" borderId="1" xfId="0" applyFont="1" applyFill="1" applyBorder="1"/>
    <xf numFmtId="0" fontId="8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0" fontId="8" fillId="0" borderId="1" xfId="0" applyFont="1" applyBorder="1" applyAlignment="1">
      <alignment horizontal="left"/>
    </xf>
    <xf numFmtId="4" fontId="10" fillId="0" borderId="1" xfId="0" applyNumberFormat="1" applyFont="1" applyBorder="1" applyAlignment="1">
      <alignment horizontal="center" vertical="top" wrapText="1"/>
    </xf>
    <xf numFmtId="164" fontId="8" fillId="0" borderId="1" xfId="1" applyNumberFormat="1" applyFont="1" applyFill="1" applyBorder="1" applyAlignment="1">
      <alignment horizontal="center" vertical="top"/>
    </xf>
    <xf numFmtId="3" fontId="8" fillId="0" borderId="1" xfId="1" applyNumberFormat="1" applyFont="1" applyFill="1" applyBorder="1" applyAlignment="1">
      <alignment horizontal="center" vertical="top"/>
    </xf>
    <xf numFmtId="3" fontId="10" fillId="0" borderId="1" xfId="0" applyNumberFormat="1" applyFont="1" applyBorder="1" applyAlignment="1">
      <alignment vertical="top"/>
    </xf>
    <xf numFmtId="0" fontId="6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/>
    </xf>
    <xf numFmtId="3" fontId="10" fillId="0" borderId="1" xfId="0" applyNumberFormat="1" applyFont="1" applyBorder="1" applyAlignment="1">
      <alignment horizontal="center" vertical="top"/>
    </xf>
    <xf numFmtId="0" fontId="8" fillId="0" borderId="1" xfId="1" applyNumberFormat="1" applyFont="1" applyFill="1" applyBorder="1" applyAlignment="1">
      <alignment horizontal="center" vertical="top"/>
    </xf>
    <xf numFmtId="3" fontId="10" fillId="0" borderId="1" xfId="0" applyNumberFormat="1" applyFont="1" applyBorder="1" applyAlignment="1">
      <alignment horizontal="right" vertical="top"/>
    </xf>
    <xf numFmtId="3" fontId="10" fillId="2" borderId="1" xfId="0" applyNumberFormat="1" applyFont="1" applyFill="1" applyBorder="1" applyAlignment="1">
      <alignment vertical="top"/>
    </xf>
    <xf numFmtId="3" fontId="8" fillId="0" borderId="0" xfId="0" applyNumberFormat="1" applyFont="1"/>
    <xf numFmtId="0" fontId="5" fillId="0" borderId="0" xfId="0" applyFont="1" applyAlignment="1">
      <alignment horizontal="left" vertical="top" wrapText="1"/>
    </xf>
    <xf numFmtId="3" fontId="1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N37"/>
  <sheetViews>
    <sheetView tabSelected="1" topLeftCell="E2" zoomScale="112" zoomScaleNormal="120" workbookViewId="0">
      <selection activeCell="L14" sqref="L14"/>
    </sheetView>
  </sheetViews>
  <sheetFormatPr baseColWidth="10" defaultColWidth="9" defaultRowHeight="24" x14ac:dyDescent="0.4"/>
  <cols>
    <col min="1" max="1" width="13.6640625" style="1" customWidth="1"/>
    <col min="2" max="2" width="19.33203125" style="1" customWidth="1"/>
    <col min="3" max="3" width="32.6640625" style="1" bestFit="1" customWidth="1"/>
    <col min="4" max="4" width="8.83203125" style="2" customWidth="1"/>
    <col min="5" max="5" width="10.83203125" style="2" customWidth="1"/>
    <col min="6" max="6" width="12.33203125" style="2" customWidth="1"/>
    <col min="7" max="7" width="12.1640625" style="2" customWidth="1"/>
    <col min="8" max="8" width="12.6640625" style="2" customWidth="1"/>
    <col min="9" max="9" width="13.5" style="3" customWidth="1"/>
    <col min="10" max="10" width="25.5" style="3" customWidth="1"/>
    <col min="11" max="11" width="9" style="1"/>
    <col min="12" max="12" width="33.1640625" style="1" customWidth="1"/>
    <col min="13" max="16384" width="9" style="1"/>
  </cols>
  <sheetData>
    <row r="1" spans="1:14" ht="25.5" customHeight="1" x14ac:dyDescent="0.4">
      <c r="A1" s="38" t="s">
        <v>21</v>
      </c>
      <c r="B1" s="38"/>
      <c r="C1" s="38"/>
      <c r="D1" s="38"/>
      <c r="E1" s="38"/>
      <c r="F1" s="38"/>
      <c r="G1" s="38"/>
      <c r="H1" s="38"/>
      <c r="I1" s="38"/>
    </row>
    <row r="2" spans="1:14" x14ac:dyDescent="0.4">
      <c r="A2" s="4" t="s">
        <v>27</v>
      </c>
      <c r="C2" s="4"/>
    </row>
    <row r="3" spans="1:14" s="9" customFormat="1" ht="46" customHeight="1" x14ac:dyDescent="0.4">
      <c r="A3" s="5" t="s">
        <v>19</v>
      </c>
      <c r="B3" s="5" t="s">
        <v>0</v>
      </c>
      <c r="C3" s="6" t="s">
        <v>20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8" t="s">
        <v>6</v>
      </c>
      <c r="J3" s="8" t="s">
        <v>7</v>
      </c>
      <c r="L3" s="39">
        <v>383800</v>
      </c>
    </row>
    <row r="4" spans="1:14" s="14" customFormat="1" ht="21" x14ac:dyDescent="0.35">
      <c r="A4" s="10" t="s">
        <v>8</v>
      </c>
      <c r="B4" s="11"/>
      <c r="C4" s="11"/>
      <c r="D4" s="7"/>
      <c r="E4" s="7"/>
      <c r="F4" s="7"/>
      <c r="G4" s="7"/>
      <c r="H4" s="7"/>
      <c r="I4" s="12"/>
      <c r="J4" s="36">
        <f>J5+J8+J12</f>
        <v>383800</v>
      </c>
    </row>
    <row r="5" spans="1:14" s="14" customFormat="1" ht="21" x14ac:dyDescent="0.35">
      <c r="A5" s="11"/>
      <c r="B5" s="28" t="s">
        <v>16</v>
      </c>
      <c r="C5" s="15"/>
      <c r="D5" s="16"/>
      <c r="E5" s="16"/>
      <c r="F5" s="16"/>
      <c r="G5" s="16"/>
      <c r="H5" s="16"/>
      <c r="I5" s="17"/>
      <c r="J5" s="36">
        <f>SUM(J6:J7)</f>
        <v>115080</v>
      </c>
      <c r="L5" s="14">
        <f>L3*30/100</f>
        <v>115140</v>
      </c>
      <c r="N5" s="14">
        <f>L3*20/100</f>
        <v>76760</v>
      </c>
    </row>
    <row r="6" spans="1:14" s="14" customFormat="1" ht="22.5" customHeight="1" x14ac:dyDescent="0.35">
      <c r="A6" s="11"/>
      <c r="B6" s="29" t="s">
        <v>29</v>
      </c>
      <c r="C6" s="18"/>
      <c r="D6" s="19"/>
      <c r="E6" s="19">
        <v>12</v>
      </c>
      <c r="F6" s="19"/>
      <c r="G6" s="19">
        <v>1</v>
      </c>
      <c r="H6" s="19">
        <v>9590</v>
      </c>
      <c r="I6" s="25"/>
      <c r="J6" s="25">
        <f>H6*E6</f>
        <v>115080</v>
      </c>
    </row>
    <row r="7" spans="1:14" s="14" customFormat="1" ht="20" customHeight="1" x14ac:dyDescent="0.35">
      <c r="A7" s="11"/>
      <c r="B7" s="30"/>
      <c r="C7" s="21"/>
      <c r="D7" s="22"/>
      <c r="E7" s="22"/>
      <c r="F7" s="22"/>
      <c r="G7" s="22"/>
      <c r="H7" s="22"/>
      <c r="I7" s="25"/>
      <c r="J7" s="25"/>
      <c r="M7" s="14">
        <f>L5/12</f>
        <v>9595</v>
      </c>
    </row>
    <row r="8" spans="1:14" s="14" customFormat="1" ht="22" x14ac:dyDescent="0.35">
      <c r="A8" s="11"/>
      <c r="B8" s="31" t="s">
        <v>9</v>
      </c>
      <c r="C8" s="15"/>
      <c r="D8" s="16"/>
      <c r="E8" s="16"/>
      <c r="F8" s="16"/>
      <c r="G8" s="16"/>
      <c r="H8" s="16"/>
      <c r="I8" s="17"/>
      <c r="J8" s="36">
        <f>SUM(J9:J11)</f>
        <v>0</v>
      </c>
      <c r="K8" s="37"/>
    </row>
    <row r="9" spans="1:14" s="14" customFormat="1" ht="21" x14ac:dyDescent="0.35">
      <c r="A9" s="11"/>
      <c r="B9" s="30"/>
      <c r="C9" s="21"/>
      <c r="D9" s="19"/>
      <c r="E9" s="19"/>
      <c r="F9" s="19"/>
      <c r="G9" s="19"/>
      <c r="H9" s="33"/>
      <c r="I9" s="25"/>
      <c r="J9" s="25"/>
    </row>
    <row r="10" spans="1:14" s="14" customFormat="1" ht="21" x14ac:dyDescent="0.35">
      <c r="A10" s="11"/>
      <c r="B10" s="30"/>
      <c r="C10" s="21"/>
      <c r="D10" s="19"/>
      <c r="E10" s="19"/>
      <c r="F10" s="19"/>
      <c r="G10" s="19"/>
      <c r="H10" s="33"/>
      <c r="I10" s="25"/>
      <c r="J10" s="25"/>
    </row>
    <row r="11" spans="1:14" s="14" customFormat="1" ht="21" x14ac:dyDescent="0.35">
      <c r="A11" s="11"/>
      <c r="B11" s="30"/>
      <c r="C11" s="21"/>
      <c r="D11" s="19"/>
      <c r="E11" s="19"/>
      <c r="F11" s="19"/>
      <c r="G11" s="19"/>
      <c r="H11" s="33"/>
      <c r="I11" s="25"/>
      <c r="J11" s="25"/>
      <c r="L11" s="37">
        <f>L3-L5</f>
        <v>268660</v>
      </c>
    </row>
    <row r="12" spans="1:14" s="14" customFormat="1" ht="21" x14ac:dyDescent="0.35">
      <c r="A12" s="11"/>
      <c r="B12" s="28" t="s">
        <v>10</v>
      </c>
      <c r="C12" s="15"/>
      <c r="D12" s="16"/>
      <c r="E12" s="16"/>
      <c r="F12" s="16"/>
      <c r="G12" s="16"/>
      <c r="H12" s="16"/>
      <c r="I12" s="17"/>
      <c r="J12" s="36">
        <f>SUM(J13:J22)</f>
        <v>268720</v>
      </c>
      <c r="L12" s="37">
        <f>L3-J5</f>
        <v>268720</v>
      </c>
    </row>
    <row r="13" spans="1:14" s="14" customFormat="1" ht="21" x14ac:dyDescent="0.35">
      <c r="A13" s="11"/>
      <c r="B13" s="30"/>
      <c r="C13" s="21"/>
      <c r="D13" s="34"/>
      <c r="E13" s="23"/>
      <c r="F13" s="19"/>
      <c r="G13" s="19"/>
      <c r="H13" s="24">
        <v>150000</v>
      </c>
      <c r="I13" s="25"/>
      <c r="J13" s="24">
        <v>100000</v>
      </c>
    </row>
    <row r="14" spans="1:14" s="14" customFormat="1" ht="21" x14ac:dyDescent="0.35">
      <c r="A14" s="11"/>
      <c r="B14" s="30"/>
      <c r="C14" s="21"/>
      <c r="D14" s="19"/>
      <c r="E14" s="19"/>
      <c r="F14" s="19"/>
      <c r="G14" s="19"/>
      <c r="H14" s="24">
        <v>90000</v>
      </c>
      <c r="I14" s="25"/>
      <c r="J14" s="24">
        <v>30000</v>
      </c>
    </row>
    <row r="15" spans="1:14" s="14" customFormat="1" ht="21" x14ac:dyDescent="0.35">
      <c r="A15" s="11"/>
      <c r="B15" s="30"/>
      <c r="C15" s="21"/>
      <c r="D15" s="19"/>
      <c r="E15" s="19"/>
      <c r="F15" s="19"/>
      <c r="G15" s="19"/>
      <c r="H15" s="19">
        <v>20000</v>
      </c>
      <c r="I15" s="25"/>
      <c r="J15" s="33">
        <f>L12-SUM(J13,J14,J17,J16,J18)</f>
        <v>18720</v>
      </c>
      <c r="L15" s="37">
        <f>J12-L11</f>
        <v>60</v>
      </c>
    </row>
    <row r="16" spans="1:14" s="14" customFormat="1" ht="21" x14ac:dyDescent="0.35">
      <c r="A16" s="11"/>
      <c r="B16" s="30"/>
      <c r="C16" s="21"/>
      <c r="D16" s="34"/>
      <c r="E16" s="23"/>
      <c r="F16" s="19"/>
      <c r="G16" s="19"/>
      <c r="H16" s="24">
        <v>40000</v>
      </c>
      <c r="I16" s="25"/>
      <c r="J16" s="24">
        <v>40000</v>
      </c>
    </row>
    <row r="17" spans="1:12" s="14" customFormat="1" ht="21" x14ac:dyDescent="0.35">
      <c r="A17" s="11"/>
      <c r="B17" s="30"/>
      <c r="C17" s="21"/>
      <c r="D17" s="19"/>
      <c r="E17" s="19"/>
      <c r="F17" s="19"/>
      <c r="G17" s="19"/>
      <c r="H17" s="24">
        <v>50000</v>
      </c>
      <c r="I17" s="25"/>
      <c r="J17" s="24">
        <v>50000</v>
      </c>
    </row>
    <row r="18" spans="1:12" s="14" customFormat="1" ht="21" x14ac:dyDescent="0.35">
      <c r="A18" s="11"/>
      <c r="B18" s="30"/>
      <c r="C18" s="21"/>
      <c r="D18" s="19"/>
      <c r="E18" s="19"/>
      <c r="F18" s="19"/>
      <c r="G18" s="19"/>
      <c r="H18" s="19"/>
      <c r="I18" s="25"/>
      <c r="J18" s="33">
        <v>30000</v>
      </c>
      <c r="L18" s="37">
        <f>SUM(J13:J18)</f>
        <v>268720</v>
      </c>
    </row>
    <row r="19" spans="1:12" s="14" customFormat="1" ht="21" x14ac:dyDescent="0.35">
      <c r="A19" s="11"/>
      <c r="B19" s="30"/>
      <c r="C19" s="21"/>
      <c r="D19" s="19"/>
      <c r="E19" s="19"/>
      <c r="F19" s="19"/>
      <c r="G19" s="19"/>
      <c r="H19" s="33"/>
      <c r="I19" s="25"/>
      <c r="J19" s="25"/>
    </row>
    <row r="20" spans="1:12" s="14" customFormat="1" ht="21" x14ac:dyDescent="0.35">
      <c r="A20" s="11"/>
      <c r="B20" s="30"/>
      <c r="C20" s="21"/>
      <c r="D20" s="34"/>
      <c r="E20" s="23"/>
      <c r="F20" s="19"/>
      <c r="G20" s="19"/>
      <c r="H20" s="24"/>
      <c r="I20" s="25"/>
      <c r="J20" s="25"/>
    </row>
    <row r="21" spans="1:12" s="14" customFormat="1" ht="21" x14ac:dyDescent="0.35">
      <c r="A21" s="11"/>
      <c r="B21" s="30"/>
      <c r="C21" s="21"/>
      <c r="D21" s="19"/>
      <c r="E21" s="19"/>
      <c r="F21" s="19"/>
      <c r="G21" s="19"/>
      <c r="H21" s="24"/>
      <c r="I21" s="25"/>
      <c r="J21" s="25"/>
    </row>
    <row r="22" spans="1:12" s="14" customFormat="1" ht="21" x14ac:dyDescent="0.35">
      <c r="A22" s="11"/>
      <c r="B22" s="30"/>
      <c r="C22" s="21"/>
      <c r="D22" s="19"/>
      <c r="E22" s="19"/>
      <c r="F22" s="19"/>
      <c r="G22" s="19"/>
      <c r="H22" s="33"/>
      <c r="I22" s="25"/>
      <c r="J22" s="25"/>
    </row>
    <row r="23" spans="1:12" s="14" customFormat="1" ht="21" x14ac:dyDescent="0.35">
      <c r="A23" s="11"/>
      <c r="B23" s="28" t="s">
        <v>23</v>
      </c>
      <c r="C23" s="15"/>
      <c r="D23" s="16"/>
      <c r="E23" s="16"/>
      <c r="F23" s="16"/>
      <c r="G23" s="16"/>
      <c r="H23" s="16"/>
      <c r="I23" s="17"/>
      <c r="J23" s="13" t="s">
        <v>15</v>
      </c>
    </row>
    <row r="24" spans="1:12" s="14" customFormat="1" ht="21" x14ac:dyDescent="0.35">
      <c r="A24" s="11"/>
      <c r="B24" s="30"/>
      <c r="C24" s="21">
        <v>1</v>
      </c>
      <c r="D24" s="19"/>
      <c r="E24" s="19"/>
      <c r="F24" s="19"/>
      <c r="G24" s="19"/>
      <c r="H24" s="19"/>
      <c r="I24" s="20"/>
      <c r="J24" s="20"/>
    </row>
    <row r="25" spans="1:12" s="14" customFormat="1" ht="21" x14ac:dyDescent="0.35">
      <c r="A25" s="11"/>
      <c r="B25" s="30"/>
      <c r="C25" s="21">
        <v>2</v>
      </c>
      <c r="D25" s="19"/>
      <c r="E25" s="19"/>
      <c r="F25" s="19"/>
      <c r="G25" s="19"/>
      <c r="H25" s="19"/>
      <c r="I25" s="20"/>
      <c r="J25" s="20"/>
    </row>
    <row r="26" spans="1:12" s="14" customFormat="1" ht="21" x14ac:dyDescent="0.35">
      <c r="A26" s="11"/>
      <c r="B26" s="30"/>
      <c r="C26" s="21">
        <v>3</v>
      </c>
      <c r="D26" s="19"/>
      <c r="E26" s="19"/>
      <c r="F26" s="19"/>
      <c r="G26" s="19"/>
      <c r="H26" s="19"/>
      <c r="I26" s="20"/>
      <c r="J26" s="20"/>
    </row>
    <row r="27" spans="1:12" s="14" customFormat="1" ht="21" x14ac:dyDescent="0.35">
      <c r="A27" s="11"/>
      <c r="B27" s="28" t="s">
        <v>12</v>
      </c>
      <c r="C27" s="15"/>
      <c r="D27" s="16"/>
      <c r="E27" s="16"/>
      <c r="F27" s="16"/>
      <c r="G27" s="16"/>
      <c r="H27" s="16"/>
      <c r="I27" s="17"/>
      <c r="J27" s="13" t="s">
        <v>14</v>
      </c>
    </row>
    <row r="28" spans="1:12" s="14" customFormat="1" ht="21" x14ac:dyDescent="0.35">
      <c r="A28" s="11"/>
      <c r="B28" s="30"/>
      <c r="C28" s="21">
        <v>1</v>
      </c>
      <c r="D28" s="19"/>
      <c r="E28" s="19"/>
      <c r="F28" s="19"/>
      <c r="G28" s="19"/>
      <c r="H28" s="19"/>
      <c r="I28" s="11"/>
      <c r="J28" s="11"/>
    </row>
    <row r="29" spans="1:12" s="14" customFormat="1" ht="21" x14ac:dyDescent="0.35">
      <c r="A29" s="11"/>
      <c r="B29" s="30"/>
      <c r="C29" s="21">
        <v>2</v>
      </c>
      <c r="D29" s="19"/>
      <c r="E29" s="19"/>
      <c r="F29" s="19"/>
      <c r="G29" s="19"/>
      <c r="H29" s="19"/>
      <c r="I29" s="11"/>
      <c r="J29" s="11"/>
    </row>
    <row r="30" spans="1:12" s="14" customFormat="1" ht="21" x14ac:dyDescent="0.35">
      <c r="A30" s="11"/>
      <c r="B30" s="30"/>
      <c r="C30" s="21">
        <v>3</v>
      </c>
      <c r="D30" s="19"/>
      <c r="E30" s="19"/>
      <c r="F30" s="19"/>
      <c r="G30" s="19"/>
      <c r="H30" s="19"/>
      <c r="I30" s="11"/>
      <c r="J30" s="11"/>
    </row>
    <row r="31" spans="1:12" s="14" customFormat="1" ht="21" x14ac:dyDescent="0.35">
      <c r="A31" s="11"/>
      <c r="B31" s="28" t="s">
        <v>22</v>
      </c>
      <c r="C31" s="15"/>
      <c r="D31" s="16"/>
      <c r="E31" s="16"/>
      <c r="F31" s="16"/>
      <c r="G31" s="16"/>
      <c r="H31" s="16"/>
      <c r="I31" s="17"/>
      <c r="J31" s="13" t="s">
        <v>13</v>
      </c>
    </row>
    <row r="32" spans="1:12" s="14" customFormat="1" ht="21" x14ac:dyDescent="0.35">
      <c r="A32" s="11"/>
      <c r="B32" s="29"/>
      <c r="C32" s="21">
        <v>1</v>
      </c>
      <c r="D32" s="19"/>
      <c r="E32" s="19"/>
      <c r="F32" s="19"/>
      <c r="G32" s="19"/>
      <c r="H32" s="19"/>
      <c r="I32" s="11"/>
      <c r="J32" s="11"/>
    </row>
    <row r="33" spans="1:10" s="14" customFormat="1" ht="21" x14ac:dyDescent="0.35">
      <c r="A33" s="11"/>
      <c r="B33" s="29"/>
      <c r="C33" s="21">
        <v>2</v>
      </c>
      <c r="D33" s="19"/>
      <c r="E33" s="19"/>
      <c r="F33" s="19"/>
      <c r="G33" s="19"/>
      <c r="H33" s="19"/>
      <c r="I33" s="11"/>
      <c r="J33" s="11"/>
    </row>
    <row r="34" spans="1:10" s="14" customFormat="1" ht="21" x14ac:dyDescent="0.35">
      <c r="A34" s="11"/>
      <c r="B34" s="30"/>
      <c r="C34" s="21">
        <v>3</v>
      </c>
      <c r="D34" s="19"/>
      <c r="E34" s="19"/>
      <c r="F34" s="19"/>
      <c r="G34" s="19"/>
      <c r="H34" s="19"/>
      <c r="I34" s="11"/>
      <c r="J34" s="11"/>
    </row>
    <row r="35" spans="1:10" s="14" customFormat="1" ht="22" x14ac:dyDescent="0.35">
      <c r="A35" s="26" t="s">
        <v>11</v>
      </c>
      <c r="B35" s="31" t="s">
        <v>17</v>
      </c>
      <c r="C35" s="17"/>
      <c r="D35" s="16"/>
      <c r="E35" s="16"/>
      <c r="F35" s="16"/>
      <c r="G35" s="16"/>
      <c r="H35" s="16"/>
      <c r="I35" s="13"/>
      <c r="J35" s="36">
        <f>SUM(J36:J36)</f>
        <v>0</v>
      </c>
    </row>
    <row r="36" spans="1:10" s="14" customFormat="1" ht="21" x14ac:dyDescent="0.35">
      <c r="A36" s="11"/>
      <c r="B36" s="30"/>
      <c r="C36" s="21" t="s">
        <v>28</v>
      </c>
      <c r="D36" s="19" t="s">
        <v>25</v>
      </c>
      <c r="E36" s="19" t="s">
        <v>26</v>
      </c>
      <c r="F36" s="19"/>
      <c r="G36" s="19" t="s">
        <v>24</v>
      </c>
      <c r="H36" s="19">
        <v>90000</v>
      </c>
      <c r="I36" s="33">
        <v>90000</v>
      </c>
      <c r="J36" s="35"/>
    </row>
    <row r="37" spans="1:10" s="14" customFormat="1" ht="21" x14ac:dyDescent="0.35">
      <c r="A37" s="26" t="s">
        <v>18</v>
      </c>
      <c r="B37" s="32"/>
      <c r="C37" s="27"/>
      <c r="D37" s="16"/>
      <c r="E37" s="16"/>
      <c r="F37" s="16"/>
      <c r="G37" s="16"/>
      <c r="H37" s="16"/>
      <c r="I37" s="13"/>
      <c r="J37" s="36">
        <f>J35+J4</f>
        <v>383800</v>
      </c>
    </row>
  </sheetData>
  <mergeCells count="1">
    <mergeCell ref="A1:I1"/>
  </mergeCells>
  <phoneticPr fontId="1" type="noConversion"/>
  <pageMargins left="0.55000000000000004" right="0.23" top="0.5" bottom="0.48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ตารางงบประมาณ</vt:lpstr>
      <vt:lpstr>ตารางงบประมาณ!Print_Titles</vt:lpstr>
    </vt:vector>
  </TitlesOfParts>
  <Manager/>
  <Company>Office Black Edition - tum0r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ITTIPON FONGKAEW</cp:lastModifiedBy>
  <cp:revision/>
  <dcterms:created xsi:type="dcterms:W3CDTF">2012-12-06T01:21:06Z</dcterms:created>
  <dcterms:modified xsi:type="dcterms:W3CDTF">2025-04-11T11:08:58Z</dcterms:modified>
  <cp:category/>
  <cp:contentStatus/>
</cp:coreProperties>
</file>